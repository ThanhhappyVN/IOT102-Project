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indows\Desktop\"/>
    </mc:Choice>
  </mc:AlternateContent>
  <xr:revisionPtr revIDLastSave="0" documentId="8_{2DE0A531-3C24-4711-8270-FE67A6AA97B4}" xr6:coauthVersionLast="36" xr6:coauthVersionMax="36" xr10:uidLastSave="{00000000-0000-0000-0000-000000000000}"/>
  <bookViews>
    <workbookView xWindow="-105" yWindow="-105" windowWidth="23258" windowHeight="12458"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workbook>
</file>

<file path=xl/calcChain.xml><?xml version="1.0" encoding="utf-8"?>
<calcChain xmlns="http://schemas.openxmlformats.org/spreadsheetml/2006/main">
  <c r="D18" i="4" l="1"/>
  <c r="D17" i="4"/>
  <c r="D16" i="4"/>
  <c r="D15" i="4"/>
  <c r="D14" i="4"/>
  <c r="C12" i="1"/>
</calcChain>
</file>

<file path=xl/sharedStrings.xml><?xml version="1.0" encoding="utf-8"?>
<sst xmlns="http://schemas.openxmlformats.org/spreadsheetml/2006/main" count="300" uniqueCount="234">
  <si>
    <t>AI AUDIT LOG - METADATA &amp; SUMMARY</t>
  </si>
  <si>
    <t>STUDENT INFORMATION</t>
  </si>
  <si>
    <t>Student Name:</t>
  </si>
  <si>
    <t>Student ID:</t>
  </si>
  <si>
    <t>Course:</t>
  </si>
  <si>
    <t>Assignment:</t>
  </si>
  <si>
    <t>AI USAGE SUMMARY</t>
  </si>
  <si>
    <t>Total Prompts Used (all AI tools):</t>
  </si>
  <si>
    <t>Core Prompts Logged:</t>
  </si>
  <si>
    <t>Selection Ratio:</t>
  </si>
  <si>
    <t>Hallucination Detected:</t>
  </si>
  <si>
    <t>AI TOOLS USED</t>
  </si>
  <si>
    <t>AI Tool</t>
  </si>
  <si>
    <t>Purpose</t>
  </si>
  <si>
    <t>Frequency</t>
  </si>
  <si>
    <t>Main Value</t>
  </si>
  <si>
    <t>CORE PROMPTS DISTRIBUTION BY DTC COMPONENT</t>
  </si>
  <si>
    <t>DTC Component</t>
  </si>
  <si>
    <t>Number of Prompts</t>
  </si>
  <si>
    <t>Required (Min)</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</si>
  <si>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</si>
  <si>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</si>
  <si>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</si>
  <si>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</si>
  <si>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</si>
  <si>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</si>
  <si>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</si>
  <si>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</si>
  <si>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</si>
  <si>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</si>
  <si>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</si>
  <si>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</si>
  <si>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</si>
  <si>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</si>
  <si>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</si>
  <si>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</si>
  <si>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</si>
  <si>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</si>
  <si>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</si>
  <si>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</si>
  <si>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</si>
  <si>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</si>
  <si>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</si>
  <si>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</si>
  <si>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</si>
  <si>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</si>
  <si>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</si>
  <si>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</si>
  <si>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</si>
  <si>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</si>
  <si>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</si>
  <si>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</si>
  <si>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</si>
  <si>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</si>
  <si>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</si>
  <si>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</si>
  <si>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</si>
  <si>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</si>
  <si>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</si>
  <si>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</si>
  <si>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</si>
  <si>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</si>
  <si>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</si>
  <si>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</si>
  <si>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</si>
  <si>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</si>
  <si>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</si>
  <si>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</si>
  <si>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</si>
  <si>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</si>
  <si>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</si>
  <si>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</si>
  <si>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[Điền MSSV]</t>
  </si>
  <si>
    <t>IoT-Based Smart Parking Management System</t>
  </si>
  <si>
    <t>ChatGPT</t>
  </si>
  <si>
    <t>Phân tích kiến trúc, thuật toán, kiểm chứng logic và hỗ trợ viết tài liệu</t>
  </si>
  <si>
    <t>Cao</t>
  </si>
  <si>
    <t>Đưa ra phương án để so sánh, giúp phát hiện mâu thuẫn giữa tài liệu, sơ đồ và mã nguồn</t>
  </si>
  <si>
    <t>Decomposition</t>
  </si>
  <si>
    <t>≥ 1</t>
  </si>
  <si>
    <t>Pattern Recognition</t>
  </si>
  <si>
    <t>Abstraction</t>
  </si>
  <si>
    <t>Algorithms</t>
  </si>
  <si>
    <t>001</t>
  </si>
  <si>
    <t>DECISION</t>
  </si>
  <si>
    <t>Cần xác định kiến trúc tổng thể trước khi nối phần cứng và viết mã. Hệ thống có cảm biến, bộ điều khiển cục bộ, thiết bị đầu ra và nền tảng Blynk.</t>
  </si>
  <si>
    <t>AI đề xuất chia thành Input, Controller, Output và Cloud. AI cũng gợi ý để một bộ điều khiển trung tâm xử lý toàn bộ cảm biến, thiết bị và kết nối mạng.</t>
  </si>
  <si>
    <t>002</t>
  </si>
  <si>
    <t>Cần chọn linh kiện dựa trên bằng chứng từ Literature Review thay vì chọn theo cảm tính.</t>
  </si>
  <si>
    <t>Từ sáu nghiên cứu trong Literature Review, hãy xác định những linh kiện xuất hiện lặp lại nhiều nhất và đánh giá linh kiện nào phù hợp với mô hình bãi xe chi phí thấp của nhóm.</t>
  </si>
  <si>
    <t>AI nhận diện RFID, HC-SR04, LCD và servo là các thành phần xuất hiện thường xuyên. AI đề xuất dùng RC522, HC-SR04, LCD 16x2 và SG90 vì chi phí thấp và có nhiều thư viện hỗ trợ.</t>
  </si>
  <si>
    <t>Critical Thinking: Tần suất xuất hiện là bằng chứng tham khảo, nhưng không có nghĩa mọi nghiên cứu đều có cùng quy mô và yêu cầu.
Contextualization: Nhóm chỉ làm prototype bốn chỗ, một cổng và cần hiển thị trạng thái đơn giản.
Creative Synthesis: Tôi kết hợp các thành phần phổ biến với điều kiện thực tế của nhóm: RC522, hai HC-SR04 tại cổng, LCD I2C, SG90, Uno và ESP32.
Decision Ownership: Chọn bộ linh kiện này vì đủ chức năng, dễ mua, dễ lập trình và bám sát Table 1–3 của Literature Review.</t>
  </si>
  <si>
    <t>Literature Review Table 1, Table 2 và Table 3</t>
  </si>
  <si>
    <t>003</t>
  </si>
  <si>
    <t>004</t>
  </si>
  <si>
    <t>PROBLEM-SOLVING</t>
  </si>
  <si>
    <t>Luồng vào/ra, quét RFID và điều khiển cổng có nhiều bước liên tiếp. Nếu dùng nhiều delay và if lồng nhau, chương trình khó kiểm soát.</t>
  </si>
  <si>
    <t>Làm thế nào tổ chức logic phát hiện xe, chờ quét thẻ, mở cổng, chờ xe đi qua và đóng cổng mà không chặn toàn bộ loop()?</t>
  </si>
  <si>
    <t>AI đề xuất finite state machine kết hợp millis() thay cho chuỗi delay dài. Mỗi trạng thái chỉ xử lý một nhiệm vụ và chuyển tiếp khi đủ điều kiện cảm biến hoặc thời gian.</t>
  </si>
  <si>
    <t>enum ParkingState; switch(state); stateTimer; closeTimer</t>
  </si>
  <si>
    <t>005</t>
  </si>
  <si>
    <t>Cần quyết định dùng một ESP32 duy nhất hay tách Arduino Uno và ESP32 thành hai bộ điều khiển.</t>
  </si>
  <si>
    <t>So sánh hai phương án cho prototype này: (1) ESP32 xử lý toàn bộ RFID, cảm biến, LCD, servo và Blynk; (2) Arduino Uno xử lý phần cứng, ESP32 chỉ phụ trách Wi-Fi/Blynk.</t>
  </si>
  <si>
    <t>AI cho rằng ESP32 duy nhất sẽ giảm số linh kiện và đường truyền UART. Tuy nhiên, AI cũng nêu phương án hai MCU dễ phân chia trách nhiệm và tận dụng phần cứng sẵn có.</t>
  </si>
  <si>
    <t>006</t>
  </si>
  <si>
    <t>Mã hiện tại chỉ dùng whitelist UID và một biến occupiedSlot. Cần tránh trường hợp cùng một thẻ vào nhiều lần hoặc quét thẻ ra khi xe chưa từng vào.</t>
  </si>
  <si>
    <t>Chỉ dùng occupiedSlot và danh sách UID hợp lệ có đủ để quản lý xe vào/ra không, hay cần lưu trạng thái hiện tại của từng UID?</t>
  </si>
  <si>
    <t>AI ban đầu cho rằng bộ đếm tổng là đủ đối với prototype nhỏ. Sau khi xét các trường hợp lặp thẻ, AI đề xuất lưu trạng thái IN/OUT hoặc tập activeCards cho từng UID.</t>
  </si>
  <si>
    <t>card1–card4 whitelist; occupiedSlot++/--; test case quét lặp UID</t>
  </si>
  <si>
    <t>007</t>
  </si>
  <si>
    <t>Cần kiểm tra luồng xử lý thẻ không hợp lệ trong WAIT_ENTRY_CARD và WAIT_EXIT_CARD.</t>
  </si>
  <si>
    <t>Hãy trace đoạn checkCard(currentCard) và nhánh else-if đọc RFID lần thứ hai. Khi một thẻ không nằm trong whitelist được quét, showInvalid() có chắc chắn được gọi không?</t>
  </si>
  <si>
    <t>AI trả lời rằng checkCard() trả về false nên chương trình sẽ chạy vào else-if và hiển thị Invalid Card. AI cho rằng cấu trúc hiện tại xử lý đúng cả thẻ hợp lệ và không hợp lệ.</t>
  </si>
  <si>
    <t>Critical Thinking: Kết luận này sai vì checkCard() đã đọc UID, gọi getCardID(), PICC_HaltA() và StopCrypto1() trước khi trả về false; lần đọc thứ hai có thể không còn thẻ mới để xử lý.
Contextualization: MFRC522 không nên được đọc hai lần cho cùng một lần quét trong cùng chu kỳ xử lý.
Creative Synthesis: Tôi đổi hướng xử lý thành đọc UID đúng một lần, sau đó tách nhánh isAuthorized ? valid : invalid.
Decision Ownership: Quyết định sửa cấu trúc đọc thẻ một lần để bảo đảm thẻ sai luôn hiển thị thông báo và tránh hành vi không ổn định.</t>
  </si>
  <si>
    <t>008</t>
  </si>
  <si>
    <t>HC-SR04 có thể mất echo hoặc dao động, trong khi cổng không được đóng ngay khi xe còn ở vùng cảm biến.</t>
  </si>
  <si>
    <t>Nên đóng cổng bằng delay cố định sau khi mở hay dựa trên trạng thái hai cảm biến? Làm thế nào xử lý trường hợp pulseIn không nhận được echo?</t>
  </si>
  <si>
    <t>AI đề xuất đóng cổng sau một khoảng delay cố định để đơn giản. AI cũng gợi ý đặt timeout cho pulseIn để tránh chờ vô hạn.</t>
  </si>
  <si>
    <t>readDistance(); pulseIn(...,20000); VEHICLE_PASSING; closeTimer &gt;= 3000</t>
  </si>
  <si>
    <t>009</t>
  </si>
  <si>
    <t>Cần thiết kế định dạng dữ liệu giữa Uno và ESP32 sao cho dễ đọc, ít tốn bộ nhớ và dễ debug.</t>
  </si>
  <si>
    <t>Đối với ba loại dữ liệu IN, OUT và SLOT truyền qua UART 9600, nên dùng JSON hay chuỗi phân tách bằng dấu phẩy?</t>
  </si>
  <si>
    <t>AI đề xuất JSON vì có tên trường rõ ràng và dễ mở rộng. AI cũng thừa nhận chuỗi CSV nhẹ hơn và phù hợp khi số loại thông điệp ít.</t>
  </si>
  <si>
    <t>Critical Thinking: JSON tốt cho hệ thống lớn nhưng tạo thêm ký tự, parsing và bộ nhớ không cần thiết trên Uno.
Contextualization: Hệ thống chỉ có IN,&lt;UID&gt;, OUT,&lt;UID&gt; và SLOT,&lt;occupied&gt;,&lt;available&gt;.
Creative Synthesis: Tôi chuẩn hóa ba message type, mỗi message kết thúc bằng newline để ESP32 biết khi nào dữ liệu hoàn chỉnh.
Decision Ownership: Chọn CSV đơn giản vì đủ cho prototype, dễ quan sát trên Serial Monitor và dễ xử lý bằng substring/indexOf.</t>
  </si>
  <si>
    <t>sendToESP(); inputBuffer; processData(); firstComma/secondComma</t>
  </si>
  <si>
    <t>010</t>
  </si>
  <si>
    <t>VERIFICATION</t>
  </si>
  <si>
    <t>Cần kiểm tra Design Decision và Mapping Table có phản ánh đúng phiên bản hệ thống cuối cùng hay không.</t>
  </si>
  <si>
    <t>Đối chiếu Table 3, Table 4 của Literature Review với Block Diagram và mã nguồn cuối. Có thành phần nào được thêm, bỏ hoặc mô tả không nhất quán không?</t>
  </si>
  <si>
    <t>AI ban đầu kết luận các bảng và sơ đồ đã thống nhất. Khi đối chiếu chi tiết, AI nhận thấy ESP32/Blynk được thêm ở phiên bản cuối, còn LEDs/Buzzer xuất hiện trong bảng nhưng không có trong sơ đồ và mã nguồn.</t>
  </si>
  <si>
    <t>Literature Review p.4–5; final Block Diagram; Arduino/ESP32 code</t>
  </si>
  <si>
    <t>011</t>
  </si>
  <si>
    <t>Hai HC-SR04 ở cổng vào/ra có thể cung cấp độ chính xác của từng parking slot như Research Question 2 đang mô tả không?</t>
  </si>
  <si>
    <t>012</t>
  </si>
  <si>
    <t>Kết nối Wi-Fi hoặc Blynk có thể mất, nhưng thao tác quét thẻ và đóng/mở cổng vẫn phải tiếp tục.</t>
  </si>
  <si>
    <t>Nên đặt toàn bộ logic điều khiển trên ESP32/Blynk hay giữ điều khiển cổng cục bộ và xem cloud là chức năng giám sát bổ sung?</t>
  </si>
  <si>
    <t>AI đề xuất đưa toàn bộ logic lên ESP32 để đồng bộ dữ liệu nhanh hơn. AI cũng cảnh báo việc phụ thuộc cloud có thể làm hệ thống ngừng hoạt động khi mất mạng.</t>
  </si>
  <si>
    <t>013</t>
  </si>
  <si>
    <t>Cần xác định dữ liệu tối thiểu hiển thị trên Blynk và cách biểu diễn sự kiện xe vào/ra.</t>
  </si>
  <si>
    <t>Với dữ liệu nhận từ UART, hãy đề xuất mapping Blynk Virtual Pin và event log sao cho người dùng dễ theo dõi số chỗ trống và UID xe.</t>
  </si>
  <si>
    <t>AI đề xuất V0 cho available slots, V1 cho RFID UID và hai event riêng cho vehicle_entered/vehicle_exited. AI cũng đề xuất gắn timestamp cho mỗi event.</t>
  </si>
  <si>
    <t>014</t>
  </si>
  <si>
    <t>UART nối Arduino Uno với ESP32 phải tương thích cả baud rate và mức điện áp.</t>
  </si>
  <si>
    <t>Arduino Uno TX 5V có thể nối trực tiếp vào ESP32 RX GPIO16 3.3V chỉ vì hai bên cùng dùng UART 9600 hay không?</t>
  </si>
  <si>
    <t>AI trả lời rằng cùng baud rate 9600 là đủ và có thể nối trực tiếp TX/RX. AI không đề cập khác biệt mức logic giữa hai bo mạch.</t>
  </si>
  <si>
    <t>Critical Thinking: Câu trả lời bỏ qua rủi ro điện áp; ESP32 dùng logic 3.3V và chân RX không nên nhận trực tiếp mức 5V từ Uno.
Contextualization: Đường Uno TX → ESP32 RX là chiều có nguy cơ; chiều ESP32 TX 3.3V → Uno RX thường vẫn được nhận là HIGH.
Creative Synthesis: Tôi bổ sung cầu chia áp hoặc level shifter cho đường 5V sang 3.3V và nối chung GND.
Decision Ownership: Không nối trực tiếp Uno TX với ESP32 RX; chọn giải pháp hạ mức điện áp để bảo vệ ESP32 và tăng độ ổn định.</t>
  </si>
  <si>
    <t>015</t>
  </si>
  <si>
    <t>Expected Metrics liệt kê authentication accuracy, detection accuracy và response time, nhưng mã nguồn chưa tạo dữ liệu đo.</t>
  </si>
  <si>
    <t>Chỉ nhìn vào code có thể kết luận hệ thống đã đạt các Expected Metrics hay cần một kế hoạch thử nghiệm riêng?</t>
  </si>
  <si>
    <t>AI ban đầu cho rằng hệ thống đáp ứng metrics vì đã có RFID, cảm biến và timer. Sau khi kiểm tra, AI thừa nhận code chỉ triển khai chức năng, chưa cung cấp số lần thử, số lỗi hoặc kết quả đo.</t>
  </si>
  <si>
    <t>Critical Thinking: Có chức năng không đồng nghĩa với đã chứng minh accuracy hoặc response time.
Contextualization: Báo cáo cần số liệu thực nghiệm cho RQ1/RQ2, không chỉ mô tả thiết bị.
Creative Synthesis: Tôi thiết kế test table gồm số lần thử, true/false result, thời điểm quét thẻ và thời điểm servo mở.
Decision Ownership: Chỉ báo cáo metrics sau khi đo; tính accuracy = số lần đúng/tổng lần thử và response time = thời điểm mở cổng − thời điểm nhận UID.</t>
  </si>
  <si>
    <t>Expected Metrics p.5; proposed RFID/HC-SR04 test cases; Serial timestamp log</t>
  </si>
  <si>
    <t>016</t>
  </si>
  <si>
    <t>Mã ESP32 hiện chứa Blynk token, Wi-Fi SSID và password trực tiếp trong source code.</t>
  </si>
  <si>
    <t>Đối với bài nộp hoặc repository, nên giữ Blynk token và Wi-Fi credentials trong file mã chính hay tách chúng thành cấu hình riêng?</t>
  </si>
  <si>
    <t>AI cho rằng hard-code giúp demo nhanh và có thể chấp nhận với prototype. AI đồng thời cảnh báo thông tin xác thực sẽ bị lộ khi chia sẻ file.</t>
  </si>
  <si>
    <t>Critical Thinking: Tính tiện lợi không loại bỏ rủi ro; token và mật khẩu có thể bị người khác sử dụng.
Contextualization: File có thể được nộp qua LMS, gửi cho giảng viên hoặc đưa lên Git, nên phạm vi chia sẻ không còn là máy cá nhân.
Creative Synthesis: Tôi tách credentials sang secrets.h không commit, còn bản nộp dùng placeholder và hướng dẫn cấu hình.
Decision Ownership: Quyết định thu hồi/đổi token đã lộ và không để credential thật trong source code được chia sẻ.</t>
  </si>
  <si>
    <t>ESP32 configuration declarations; .gitignore/secrets.h plan; sanitized submission code</t>
  </si>
  <si>
    <t>017</t>
  </si>
  <si>
    <t>Khi Arduino Uno khởi động lại và biến occupiedSlot bị đặt về 0, nên khôi phục số xe trong bãi bằng EEPROM, dữ liệu từ Blynk hay yêu cầu nhân viên đồng bộ lại?</t>
  </si>
  <si>
    <t>AI đề xuất lưu occupiedSlot vào EEPROM sau mỗi lần xe vào/ra để tự khôi phục khi khởi động. AI cũng gợi ý lấy trạng thái từ cloud, nhưng cảnh báo dữ liệu cloud có thể cũ hoặc mất kết nối.</t>
  </si>
  <si>
    <t>018</t>
  </si>
  <si>
    <t>Uno gửi cả sự kiện IN/OUT và bản chụp trạng thái SLOT. Cần xác định ESP32 nên tự tính số chỗ từ sự kiện hay xem SLOT là trạng thái chính thức.</t>
  </si>
  <si>
    <t>Trong giao thức UART, ESP32 nên tự tăng giảm số chỗ khi nhận IN/OUT hay chỉ dùng IN/OUT để ghi log và dùng SLOT,occupied,available làm trạng thái chính thức?</t>
  </si>
  <si>
    <t>AI đề xuất ESP32 tự tính occupied từ IN/OUT để giảm số message. AI cũng cảnh báo nếu mất một dòng UART hoặc ESP32 khởi động lại, bộ đếm trên ESP32 sẽ lệch so với Arduino.</t>
  </si>
  <si>
    <t>Critical Thinking: Tự tính lại trên ESP32 tạo ra hai nguồn dữ liệu độc lập; một message bị mất có thể làm dashboard sai lâu dài.
Contextualization: Arduino Uno mới là nơi quyết định xe vào/ra và đang giữ occupiedSlot; ESP32 chỉ đóng vai trò gateway.
Creative Synthesis: Tôi phân biệt event và state: IN/OUT chỉ dùng cho lịch sử, còn SLOT là state snapshot có thẩm quyền. ESP32 cập nhật dashboard từ SLOT và không tự suy diễn bộ đếm.
Decision Ownership: Chọn Arduino là single source of truth cho occupancy; cách này giảm nguy cơ lệch trạng thái khi UART hoặc ESP32 bị reset.</t>
  </si>
  <si>
    <t>sendToESP("IN/OUT"); sendToESP("SLOT,..."); processData() cập nhật V0 từ SLOT</t>
  </si>
  <si>
    <t>Mỗi vòng lặp hiện chỉ đọc một giá trị từ HC-SR04 rồi so với ngưỡng 10 cm. Một mẫu nhiễu có thể làm hệ thống chuyển trạng thái sai.</t>
  </si>
  <si>
    <t>Làm thế nào lọc dữ liệu HC-SR04 để giảm false trigger nhưng vẫn giữ thời gian phản hồi đủ nhanh cho xe đi qua cổng?</t>
  </si>
  <si>
    <t>AI đề xuất moving average của nhiều mẫu để làm mượt khoảng cách. AI cũng nêu median filter và yêu cầu nhiều lần phát hiện liên tiếp là phù hợp hơn khi dữ liệu có các giá trị nhiễu đột biến.</t>
  </si>
  <si>
    <t>Critical Thinking: Moving average có thể bị kéo lệch bởi giá trị 999 khi mất echo và tạo độ trễ; chỉ tăng số mẫu cũng không bảo đảm loại bỏ outlier.
Contextualization: Vòng lặp có delay 50 ms, ngưỡng chỉ 10 cm và hệ thống cần phản hồi trong vài trăm mili giây.
Creative Synthesis: Tôi chọn median của ba lần đo hợp lệ, bỏ giá trị timeout và chỉ xác nhận có xe sau hai chu kỳ liên tiếp dưới ngưỡng; khi rời cổng dùng ngưỡng cao hơn nhẹ để tạo hysteresis.
Decision Ownership: Chọn median + consecutive confirmation vì chống outlier tốt, độ trễ nhỏ và dễ kiểm thử hơn bộ lọc phức tạp.</t>
  </si>
  <si>
    <t>Sau khi checkCard() trả về false, nhánh else-if sẽ đọc lại cùng thẻ và gọi showInvalid().</t>
  </si>
  <si>
    <t>checkCard() đã đọc UID và kết thúc phiên thẻ trước khi trả false; lần đọc thứ hai có thể không phát hiện lại thẻ nên Invalid Card không được hiển thị.</t>
  </si>
  <si>
    <t>Trace control flow của WAIT_ENTRY_CARD/WAIT_EXIT_CARD và kiểm tra side effect trong getCardID().</t>
  </si>
  <si>
    <t>Đọc UID một lần, lưu kết quả, sau đó tách nhánh authorized/unauthorized.</t>
  </si>
  <si>
    <t>Có thể nối trực tiếp Arduino Uno TX với ESP32 RX vì cả hai cùng dùng UART 9600.</t>
  </si>
  <si>
    <t>Baud rate tương thích không giải quyết mức logic: Uno TX là 5V trong khi ESP32 RX là 3.3V.</t>
  </si>
  <si>
    <t>Kiểm tra mức điện áp hai bo và phân tích hướng truyền Uno → ESP32.</t>
  </si>
  <si>
    <t>Dùng cầu chia áp/level shifter, nối chung GND và kiểm tra lại wiring trước khi cấp nguồn.</t>
  </si>
  <si>
    <t>Prompt này ảnh hưởng đến quyết định quan trọng trong project?</t>
  </si>
  <si>
    <t>☑</t>
  </si>
  <si>
    <t>Các entry tập trung vào architecture, scope, thuật toán, kiểm chứng phần cứng và kế hoạch đo.</t>
  </si>
  <si>
    <t>Nếu không có prompt này, project có thay đổi về architecture/design/approach?</t>
  </si>
  <si>
    <t>Có; các quyết định ảnh hưởng trực tiếp đến hai-MCU architecture, state machine, UART protocol và phạm vi RQ.</t>
  </si>
  <si>
    <t>Tôi có thể giải thích lý do chọn/không chọn gợi ý của AI?</t>
  </si>
  <si>
    <t>Mỗi entry đều có Critical Thinking và Decision Ownership rõ ràng.</t>
  </si>
  <si>
    <t>Có minh chứng cụ thể (code, metrics, comparison)?</t>
  </si>
  <si>
    <t>20/20 entry có evidence từ code, diagram, Literature Review hoặc test plan.</t>
  </si>
  <si>
    <t>Prompt phản ánh tư duy phản biện, không chỉ copy AI output?</t>
  </si>
  <si>
    <t>Có đối chiếu AI với phần cứng, mã nguồn, phạm vi prototype và rủi ro thực tế.</t>
  </si>
  <si>
    <t>Current Value</t>
  </si>
  <si>
    <t>Số lượng entries nằm trong range (min-max)?</t>
  </si>
  <si>
    <t>Đã phát hiện ≥ số lượng hallucination yêu cầu?</t>
  </si>
  <si>
    <t>Mỗi entry đều có Human Delta đầy đủ (4 câu hỏi)?</t>
  </si>
  <si>
    <t>Có evidence cho ≥70% entries?</t>
  </si>
  <si>
    <t>☑ Vì sao chia Input–MCU–Output–Cloud và tách vai trò Uno/ESP32</t>
  </si>
  <si>
    <t>☑ Diagram + 2 source files</t>
  </si>
  <si>
    <t>☑ Vì sao dùng state machine thay cho delay/if lồng nhau</t>
  </si>
  <si>
    <t>☑ enum + switch(state)</t>
  </si>
  <si>
    <t>Should be 10-20%</t>
  </si>
  <si>
    <t>Critical Thinking: Cách chia bốn khối hợp lý, nhưng phương án một bộ điều khiển chưa phản ánh phần cứng và mã nguồn hiện có.
Contextualization: Arduino Uno xử lý các cảm biến HC-SR04, điều khiển LCD và servo; ESP32 đọc RFID, đồng bộ thời gian NTP, giao tiếp với Arduino Uno qua UART, đồng thời gửi dữ liệu lên Blynk và Google Sheets.
Creative Synthesis: Giữ mô hình Input – MCU – Output – Cloud, đồng thời phân tách rõ Arduino Uno là bộ điều khiển phần cứng (hardware controller) và ESP32 là bộ xử lý kết nối, xác thực RFID và giao tiếp với nền tảng cloud.
Decision Ownership: Chọn kiến trúc hai MCU vì dễ lắp ráp, kiểm thử từng phần và vẫn cho phép cổng hoạt động độc lập với cloud.</t>
  </si>
  <si>
    <t>Critical Thinking: Chỉ kiểm tra thẻ hợp lệ không chứng minh xe đang ở trong bãi; cùng một UID có thể làm bộ đếm sai.
Contextualization: Nhóm có bốn UID cố định nên việc lưu trạng thái từng thẻ không làm chương trình quá phức tạp.
Creative Synthesis: Tôi đề xuất mỗi UID có trạng thái outside/inside và chỉ tăng hoặc giảm khi có chuyển trạng thái hợp lệ.
Decision Ownership: Tôi quyết định lưu trạng thái từng UID thay vì chỉ dùng bộ đếm tổng để tránh quét lặp và bảo đảm tính nhất quán của dữ liệu.</t>
  </si>
  <si>
    <t>Critical Thinking: Delay cố định có thể đóng cổng khi xe chưa đi qua xong; chỉ dựa vào thời gian là không an toàn.
Contextualization: Prototype sử dụng cảm biến tại cổng và các cảm biến theo dõi trạng thái bãi xe để xác nhận quá trình xe đi qua trước khi đóng cổng.
Creative Synthesis: Tôi dùng pulseIn timeout 20000 µs, trả 999 khi mất echo và chỉ đóng sau khi cả hai cảm biến trống liên tục 3 giây.
Decision Ownership: Chọn điều kiện cảm biến + timer thay cho delay đóng cổng cố định vì an toàn và không chặn chương trình.</t>
  </si>
  <si>
    <t>Critical Thinking: Kết luận ban đầu quá nhanh; tài liệu thực tế có mâu thuẫn giữa lựa chọn thiết kế và bản triển khai.
Contextualization: Phiên bản cuối dùng Uno + ESP32 + Blynk, không triển khai LEDs/Buzzer như Table 3–4.
Creative Synthesis: Tôi cập nhật mapping thành RC522/HC-SR04 → Arduino Uno → UART → ESP32 → Blynk và Google Sheets.
Decision Ownership: Quyết định cập nhật Design Decision và Mapping Table theo đúng phần cứng cuối, thay vì giữ các thành phần chưa triển khai.</t>
  </si>
  <si>
    <t>Critical Thinking:Với kiến trúc hiện tại, ESP32 cần hoàn tất kết nối Wi-Fi trước khi tiếp tục khởi tạo các chức năng khác. Điều này có thể làm gián đoạn việc xác thực RFID nếu mạng không sẵn sàng.
Contextualization: Arduino Uno xử lý các cảm biến HC-SR04, điều khiển servo và LCD để đáp ứng thời gian thực. ESP32 đọc RFID, giao tiếp với Arduino Uno qua UART, đồng bộ thời gian NTP, gửi dữ liệu lên Blynk và Google Sheets, đồng thời lưu hàng đợi bằng NVS nếu việc đồng bộ thất bại.
Creative Synthesis: ôi phân tách nhiệm vụ giữa Arduino Uno và ESP32: Arduino Uno xử lý điều khiển phần cứng theo thời gian thực, còn ESP32 đảm nhiệm đọc RFID, kết nối mạng và đồng bộ dữ liệu với Blynk và Google Sheets.
Decision Ownership: Nhóm ưu tiên hoàn thiện chức năng giám sát qua Blynk và Google Sheets trong phiên bản prototype, chấp nhận hạn chế là ESP32 phụ thuộc vào quá trình kết nối Wi-Fi khi khởi động.</t>
  </si>
  <si>
    <t>Critical Thinking: Dashboard cần hiển thị những thông tin quan trọng giúp người dùng theo dõi trạng thái bãi xe theo thời gian thực, nhưng vẫn phải đơn giản và dễ quan sát khi trình diễn.
Contextualization: Dashboard của nhóm hiển thị số chỗ trống hiện tại, UID RFID gần nhất và trạng thái kết nối của hệ thống. Lịch sử ra/vào được lưu trên Google Sheets để phục vụ việc theo dõi và đối chiếu sau này.
Creative Synthesis: Tôi sử dụng Blynk để hiển thị các thông tin cần theo dõi theo thời gian thực, đồng thời sử dụng Google Sheets để lưu trữ lịch sử giao dịch nhằm tránh làm dashboard trở nên quá phức tạp.
Decision Ownership: Tôi ưu tiên xây dựng dashboard gọn gàng, tập trung vào các thông tin cần thiết cho việc giám sát trực tiếp, trong khi dữ liệu chi tiết được lưu trên Google Sheets để phục vụ kiểm tra và đánh giá sau này.</t>
  </si>
  <si>
    <t>Dashboard Blynk hiển thị Available Slots và RFID mới nhất; Google Sheets lưu lịch sử quét RFID và thời gian ra/vào.</t>
  </si>
  <si>
    <t>Critical Thinking: Mất kết nối Internet hoặc ESP32 khởi động lại không nên làm mất dữ liệu chưa được đồng bộ lên cloud. Hệ thống cần cơ chế lưu tạm để bảo đảm tính toàn vẹn của dữ liệu.
Contextualization: ESP32 gửi dữ liệu lên Google Sheets và Blynk. Khi gửi thất bại, bản ghi được đưa vào hàng đợi và lưu bằng Preferences (NVS) để vẫn tồn tại sau khi thiết bị khởi động lại.
Creative Synthesis: Tôi kết hợp Pending Queue với NVS Persistence: các bản ghi chưa gửi thành công sẽ được lưu cục bộ và tự động đồng bộ lại khi kết nối Internet được khôi phục.
Decision Ownership: Tôi chọn lưu hàng đợi bằng NVS thay vì phụ thuộc hoàn toàn vào cloud, giúp hệ thống giữ được dữ liệu khi mất mạng hoặc mất nguồn và tăng độ tin cậy của chức năng ghi log.</t>
  </si>
  <si>
    <t>Critical Thinking: State machine phù hợp, nhưng số trạng thái phải vừa đủ để người mới vẫn hiểu và debug được.
Contextualization: Hệ thống cần xử lý tuần tự các bước quét RFID, mở cổng, phát hiện xe đi qua và đóng cổng, đồng thời vẫn tiếp tục đọc cảm biến trong suốt quá trình này.
Creative Synthesis: Tôi dùng 5 trạng thái IDLE, WAIT_ENTRY_CARD, WAIT_EXIT_CARD, GATE_OPENING và VEHICLE_PASSING.
Decision Ownership: Chọn state machine vì luồng rõ ràng hơn, giảm delay chặn và hạn chế xử lý lặp ngoài ý muốn.</t>
  </si>
  <si>
    <t>Critical Thinking: ESP32 có đủ khả năng, nhưng đổi sang một MCU sẽ yêu cầu nối lại chân, kiểm tra mức điện áp và viết lại phần lớn mã hiện tại.
Contextualization: Nhóm đã có Uno, ESP32 và hai chương trình riêng; thời gian hoàn thiện prototype có giới hạn.
Creative Synthesis: Tôi tách local control khỏi cloud communication, dùng UART làm ranh giới giữa hai module.
Decision Ownership: Giữ Arduino Uno và ESP32 giúp giảm khối lượng thay đổi phần cứng, tận dụng chương trình đã phát triển và phân tách rõ nhiệm vụ giữa điều khiển phần cứng với kết nối mạng.</t>
  </si>
  <si>
    <t>Block Diagram; Arduino setup()/loop(); ESP32 Serial2.begin() và xử lý UART với Arduino Uno.</t>
  </si>
  <si>
    <t>Block Diagram (MCU section); UART communication (Serial2 trên ESP32 và Serial/UART trên Arduino); sơ đồ kết nối Arduino Uno–ESP32.</t>
  </si>
  <si>
    <t>checkCard(); PICC_HaltA(); getCardID(); else-if trong WAIT_ENTRY_CARD và WAIT_EXIT_CARD</t>
  </si>
  <si>
    <t>Dựa trên yêu cầu hệ thống bãi đỗ xe dùng RFID RC522, năm HC-SR04, LCD I2C, servo SG90 và Blynk, hãy đề xuất cách chia hệ thống thành các khối chức năng và luồng dữ liệu giữa chúng.</t>
  </si>
  <si>
    <t>Research Question 2; updateSlotStatus(); slotOccupied[]; getAvailableSlots(); sendSlotStatusIfChanged()</t>
  </si>
  <si>
    <t>AI cho rằng hệ thống có thể xác định trạng thái từng ô đỗ chỉ từ số xe vào/ra. AI xem tổng số chỗ còn lại tương đương với việc biết chính xác vị trí từng phương tiện.</t>
  </si>
  <si>
    <t>Research Question 2 đề cập đến độ chính xác trong phát hiện trạng thái các ô đỗ, tuy nhiên cần kiểm tra xem khả năng của prototype có thực sự đáp ứng được yêu cầu này hay không.</t>
  </si>
  <si>
    <t>Critical Thinking: AI đã mở rộng phạm vi đánh giá khi cho rằng hệ thống có thể xác định chính xác vị trí của từng xe chỉ dựa trên kết quả đếm số chỗ trống. Khả năng này cần được đối chiếu với cách bố trí cảm biến và logic thực tế.
Contextualization: Prototype sử dụng ba cảm biến HC-SR04 để theo dõi trạng thái của ba ô đỗ và hai cảm biến tại cổng vào/ra để phát hiện xe di chuyển. Hệ thống xác định số chỗ còn trống và trạng thái từng ô, nhưng không ánh xạ UID RFID với từng vị trí đỗ.
Creative Synthesis: Tôi phân biệt giữa việc theo dõi trạng thái các ô đỗ và việc định danh vị trí của từng phương tiện. Hệ thống có thể biết ô nào đang có xe hoặc còn trống, nhưng không theo dõi xe nào đang đỗ tại từng ô.
Decision Ownership: Tôi điều chỉnh Research Question 2 và Expected Metrics để phản ánh đúng khả năng của prototype: đánh giá độ chính xác trong phát hiện trạng thái các ô đỗ và số chỗ còn trống, thay vì suy luận khả năng theo dõi vị trí của từng phương tiện..</t>
  </si>
  <si>
    <t>WiFi.begin()/Blynk.begin(); WiFi.status(); Serial2.println("CARD,..."); Blynk.virtualWrite(); sendToGoogleSheet(); Preferences (NVS).</t>
  </si>
  <si>
    <t>Arduino Serial.begin(9600); ESP32 Serial2.begin(9600, SERIAL_8N1, 16, 17); wiring checklist; voltage divider/level shifting cho Uno TX → ESP32 RX.</t>
  </si>
  <si>
    <t>Sau khi Arduino Uno hoặc ESP32 khởi động lại, trạng thái các ô đỗ cần được khôi phục hoặc đồng bộ để tránh sai lệch giữa phần cứng và dashboard.</t>
  </si>
  <si>
    <t>slotOccupied[]; getAvailableSlots(); sendSlotStatusIfChanged(); Preferences; PendingSync.</t>
  </si>
  <si>
    <t>readDistanceCM(); pulseIn(...,30000UL); delay(15) giữa các slot; kế hoạch kiểm thử false trigger.</t>
  </si>
  <si>
    <t>Hệ thống có thể xác định chính xác vị trí của từng phương tiện chỉ từ số chỗ còn trống.</t>
  </si>
  <si>
    <t>Prototype sử dụng ba HC-SR04 để theo dõi trạng thái từng ô đỗ và hai HC-SR04 tại cổng vào/ra. Hệ thống xác định trạng thái từng ô và số chỗ còn trống, nhưng không ánh xạ UID RFID với từng vị trí đỗ.</t>
  </si>
  <si>
    <t>Đối chiếu Research Question 2, Block Diagram và logic updateSlotStatus(), slotOccupied[], getAvailableSlots() trong mã nguồn.</t>
  </si>
  <si>
    <t>Điều chỉnh RQ2 và Expected Metrics để đánh giá độ chính xác phát hiện trạng thái các ô đỗ và số chỗ còn trống, thay vì khả năng theo dõi vị trí của từng phương tiện.</t>
  </si>
  <si>
    <t xml:space="preserve"> </t>
  </si>
  <si>
    <t>☑ Vì sao chỉ đọc UID một lần rồi mới xử lý Authorized/Unauthorized</t>
  </si>
  <si>
    <t>☑ checkRfidCard() → handleCardScanned()</t>
  </si>
  <si>
    <t>☑ Vì sao prototype theo dõi trạng thái từng slot nhưng không ánh xạ UID RFID với từng vị trí đỗ</t>
  </si>
  <si>
    <t>☑ slotOccupied[]; updateSlotStatus(); getAvailableSlots()</t>
  </si>
  <si>
    <t>☑ Vì sao cần Pending Queue + NVS Persistence khi đồng bộ Google Sheets</t>
  </si>
  <si>
    <t>☑ PendingSync; Preferences; savePendingToNVS(); retryPendingSyncs()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</si>
</sst>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i/>
      <sz val="11"/>
      <color rgb="FF666666"/>
      <name val="Calibri"/>
    </font>
  </fonts>
  <fills count="5">
    <fill>
      <patternFill patternType="none"/>
    </fill>
    <fill>
      <patternFill patternType="gray125"/>
    </fill>
    <fill>
      <patternFill patternType="solid">
        <fgColor rgb="FFFFFF00"/>
      </patternFill>
    </fill>
    <fill>
      <patternFill patternType="solid">
        <fgColor rgb="FF2E75B6"/>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0" fillId="2" borderId="0" xfId="0" applyFill="1" applyAlignment="1">
      <alignment wrapText="1"/>
    </xf>
    <xf numFmtId="0" fontId="4" fillId="0" borderId="0" xfId="0" applyFont="1" applyAlignment="1">
      <alignment wrapText="1"/>
    </xf>
    <xf numFmtId="0" fontId="13" fillId="0" borderId="0" xfId="0" applyFont="1" applyAlignment="1">
      <alignment wrapText="1"/>
    </xf>
    <xf numFmtId="0" fontId="0" fillId="0" borderId="1" xfId="0" applyBorder="1" applyAlignment="1">
      <alignment horizontal="center" vertical="top" wrapText="1"/>
    </xf>
    <xf numFmtId="9" fontId="9" fillId="0" borderId="1" xfId="0" applyNumberFormat="1" applyFont="1" applyBorder="1" applyAlignment="1">
      <alignment horizontal="left" vertical="top" wrapText="1"/>
    </xf>
    <xf numFmtId="9" fontId="0" fillId="0" borderId="0" xfId="0" applyNumberFormat="1" applyAlignment="1">
      <alignment wrapText="1"/>
    </xf>
    <xf numFmtId="0" fontId="1" fillId="0" borderId="0" xfId="0" applyFont="1" applyAlignment="1">
      <alignment horizontal="center" vertical="center" wrapText="1"/>
    </xf>
    <xf numFmtId="0" fontId="0" fillId="0" borderId="0" xfId="0" applyAlignment="1">
      <alignment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8" workbookViewId="0">
      <selection activeCell="C17" sqref="C17"/>
    </sheetView>
  </sheetViews>
  <sheetFormatPr defaultRowHeight="14.25" x14ac:dyDescent="0.45"/>
  <cols>
    <col min="1" max="1" width="30" customWidth="1"/>
    <col min="2" max="2" width="42" customWidth="1"/>
    <col min="3" max="3" width="24" customWidth="1"/>
    <col min="4" max="4" width="38" customWidth="1"/>
    <col min="5" max="5" width="34" customWidth="1"/>
    <col min="6" max="6" width="20" customWidth="1"/>
  </cols>
  <sheetData>
    <row r="1" spans="1:6" x14ac:dyDescent="0.45">
      <c r="A1" s="23" t="s">
        <v>0</v>
      </c>
      <c r="B1" s="24"/>
      <c r="C1" s="24"/>
      <c r="D1" s="24"/>
      <c r="E1" s="24"/>
      <c r="F1" s="25"/>
    </row>
    <row r="2" spans="1:6" x14ac:dyDescent="0.45">
      <c r="A2" s="14"/>
      <c r="B2" s="14"/>
      <c r="C2" s="14"/>
      <c r="D2" s="14"/>
      <c r="E2" s="14"/>
    </row>
    <row r="3" spans="1:6" ht="18" x14ac:dyDescent="0.55000000000000004">
      <c r="A3" s="15" t="s">
        <v>1</v>
      </c>
      <c r="B3" s="14"/>
      <c r="C3" s="14"/>
      <c r="D3" s="14"/>
      <c r="E3" s="14"/>
    </row>
    <row r="4" spans="1:6" x14ac:dyDescent="0.45">
      <c r="A4" s="16" t="s">
        <v>2</v>
      </c>
      <c r="B4" s="14"/>
      <c r="C4" s="14"/>
      <c r="D4" s="14"/>
      <c r="E4" s="14"/>
    </row>
    <row r="5" spans="1:6" x14ac:dyDescent="0.45">
      <c r="A5" s="16" t="s">
        <v>3</v>
      </c>
      <c r="B5" s="14"/>
      <c r="C5" s="14" t="s">
        <v>72</v>
      </c>
      <c r="D5" s="14"/>
      <c r="E5" s="14"/>
    </row>
    <row r="6" spans="1:6" x14ac:dyDescent="0.45">
      <c r="A6" s="16" t="s">
        <v>4</v>
      </c>
      <c r="B6" s="14"/>
      <c r="C6" s="14"/>
      <c r="D6" s="14"/>
      <c r="E6" s="14"/>
    </row>
    <row r="7" spans="1:6" ht="28.5" x14ac:dyDescent="0.45">
      <c r="A7" s="16" t="s">
        <v>5</v>
      </c>
      <c r="B7" s="14"/>
      <c r="C7" s="14" t="s">
        <v>73</v>
      </c>
      <c r="D7" s="14"/>
      <c r="E7" s="14"/>
    </row>
    <row r="8" spans="1:6" x14ac:dyDescent="0.45">
      <c r="A8" s="14"/>
      <c r="B8" s="14"/>
      <c r="C8" s="14"/>
      <c r="D8" s="14"/>
      <c r="E8" s="14"/>
    </row>
    <row r="9" spans="1:6" ht="18" x14ac:dyDescent="0.55000000000000004">
      <c r="A9" s="15" t="s">
        <v>6</v>
      </c>
      <c r="B9" s="14"/>
      <c r="C9" s="14"/>
      <c r="D9" s="14"/>
      <c r="E9" s="14"/>
    </row>
    <row r="10" spans="1:6" x14ac:dyDescent="0.45">
      <c r="A10" s="16" t="s">
        <v>7</v>
      </c>
      <c r="B10" s="14"/>
      <c r="C10" s="14">
        <v>100</v>
      </c>
      <c r="D10" s="14"/>
      <c r="E10" s="19"/>
    </row>
    <row r="11" spans="1:6" x14ac:dyDescent="0.45">
      <c r="A11" s="16" t="s">
        <v>8</v>
      </c>
      <c r="B11" s="14"/>
      <c r="C11" s="17">
        <v>20</v>
      </c>
      <c r="D11" s="14"/>
      <c r="E11" s="19"/>
    </row>
    <row r="12" spans="1:6" x14ac:dyDescent="0.45">
      <c r="A12" s="16" t="s">
        <v>9</v>
      </c>
      <c r="B12" s="14"/>
      <c r="C12" s="22">
        <f>IFERROR(C11/C10,0)</f>
        <v>0.2</v>
      </c>
      <c r="D12" s="14"/>
      <c r="E12" s="18" t="s">
        <v>199</v>
      </c>
    </row>
    <row r="13" spans="1:6" x14ac:dyDescent="0.45">
      <c r="A13" s="16" t="s">
        <v>10</v>
      </c>
      <c r="B13" s="14"/>
      <c r="C13" s="17">
        <v>3</v>
      </c>
      <c r="D13" s="14"/>
      <c r="E13" s="19"/>
    </row>
    <row r="14" spans="1:6" x14ac:dyDescent="0.45">
      <c r="A14" s="14"/>
      <c r="B14" s="14"/>
      <c r="C14" s="14"/>
      <c r="D14" s="14"/>
      <c r="E14" s="14"/>
    </row>
    <row r="15" spans="1:6" ht="18" x14ac:dyDescent="0.55000000000000004">
      <c r="A15" s="15" t="s">
        <v>11</v>
      </c>
      <c r="B15" s="14"/>
      <c r="C15" s="14"/>
      <c r="D15" s="14"/>
      <c r="E15" s="14"/>
    </row>
    <row r="16" spans="1:6" x14ac:dyDescent="0.45">
      <c r="A16" s="2" t="s">
        <v>12</v>
      </c>
      <c r="B16" s="2" t="s">
        <v>13</v>
      </c>
      <c r="C16" s="2" t="s">
        <v>14</v>
      </c>
      <c r="D16" s="2" t="s">
        <v>15</v>
      </c>
      <c r="E16" s="14"/>
    </row>
    <row r="17" spans="1:5" ht="28.5" x14ac:dyDescent="0.45">
      <c r="A17" s="3" t="s">
        <v>74</v>
      </c>
      <c r="B17" s="3" t="s">
        <v>75</v>
      </c>
      <c r="C17" s="3" t="s">
        <v>76</v>
      </c>
      <c r="D17" s="3" t="s">
        <v>77</v>
      </c>
      <c r="E17" s="14"/>
    </row>
    <row r="18" spans="1:5" x14ac:dyDescent="0.45">
      <c r="A18" s="3"/>
      <c r="B18" s="3"/>
      <c r="C18" s="3"/>
      <c r="D18" s="3"/>
      <c r="E18" s="14"/>
    </row>
    <row r="19" spans="1:5" x14ac:dyDescent="0.45">
      <c r="A19" s="3"/>
      <c r="B19" s="3"/>
      <c r="C19" s="3"/>
      <c r="D19" s="3"/>
      <c r="E19" s="14"/>
    </row>
    <row r="20" spans="1:5" x14ac:dyDescent="0.45">
      <c r="A20" s="3"/>
      <c r="B20" s="3"/>
      <c r="C20" s="3"/>
      <c r="D20" s="3"/>
      <c r="E20" s="14"/>
    </row>
    <row r="21" spans="1:5" x14ac:dyDescent="0.45">
      <c r="A21" s="14"/>
      <c r="B21" s="14"/>
      <c r="C21" s="14"/>
      <c r="D21" s="14"/>
      <c r="E21" s="14"/>
    </row>
    <row r="22" spans="1:5" ht="54" x14ac:dyDescent="0.55000000000000004">
      <c r="A22" s="15" t="s">
        <v>16</v>
      </c>
      <c r="B22" s="14"/>
      <c r="C22" s="14"/>
      <c r="D22" s="14"/>
      <c r="E22" s="14"/>
    </row>
    <row r="23" spans="1:5" x14ac:dyDescent="0.45">
      <c r="A23" s="2" t="s">
        <v>17</v>
      </c>
      <c r="B23" s="2" t="s">
        <v>18</v>
      </c>
      <c r="C23" s="2" t="s">
        <v>19</v>
      </c>
      <c r="D23" s="14"/>
      <c r="E23" s="14"/>
    </row>
    <row r="24" spans="1:5" x14ac:dyDescent="0.45">
      <c r="A24" s="3" t="s">
        <v>78</v>
      </c>
      <c r="B24" s="4">
        <v>5</v>
      </c>
      <c r="C24" s="5" t="s">
        <v>79</v>
      </c>
      <c r="D24" s="14"/>
      <c r="E24" s="14"/>
    </row>
    <row r="25" spans="1:5" x14ac:dyDescent="0.45">
      <c r="A25" s="3" t="s">
        <v>80</v>
      </c>
      <c r="B25" s="4">
        <v>5</v>
      </c>
      <c r="C25" s="5" t="s">
        <v>79</v>
      </c>
      <c r="D25" s="14"/>
      <c r="E25" s="14"/>
    </row>
    <row r="26" spans="1:5" x14ac:dyDescent="0.45">
      <c r="A26" s="3" t="s">
        <v>81</v>
      </c>
      <c r="B26" s="4">
        <v>5</v>
      </c>
      <c r="C26" s="5" t="s">
        <v>79</v>
      </c>
      <c r="D26" s="14"/>
      <c r="E26" s="14"/>
    </row>
    <row r="27" spans="1:5" x14ac:dyDescent="0.45">
      <c r="A27" s="3" t="s">
        <v>82</v>
      </c>
      <c r="B27" s="4">
        <v>5</v>
      </c>
      <c r="C27" s="5" t="s">
        <v>79</v>
      </c>
      <c r="D27" s="14"/>
      <c r="E27" s="14"/>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topLeftCell="A19" zoomScale="67" workbookViewId="0">
      <selection activeCell="F22" sqref="F22"/>
    </sheetView>
  </sheetViews>
  <sheetFormatPr defaultRowHeight="14.25" x14ac:dyDescent="0.45"/>
  <cols>
    <col min="1" max="1" width="8" customWidth="1"/>
    <col min="2" max="2" width="20" customWidth="1"/>
    <col min="3" max="3" width="24" customWidth="1"/>
    <col min="4" max="4" width="34" customWidth="1"/>
    <col min="5" max="6" width="42" customWidth="1"/>
    <col min="7" max="7" width="68" customWidth="1"/>
    <col min="8" max="8" width="34" customWidth="1"/>
  </cols>
  <sheetData>
    <row r="1" spans="1:8" ht="16.7" customHeight="1" x14ac:dyDescent="0.45">
      <c r="A1" s="23" t="s">
        <v>20</v>
      </c>
      <c r="B1" s="25"/>
      <c r="C1" s="25"/>
      <c r="D1" s="25"/>
      <c r="E1" s="25"/>
      <c r="F1" s="25"/>
      <c r="G1" s="25"/>
      <c r="H1" s="25"/>
    </row>
    <row r="2" spans="1:8" ht="28.25" customHeight="1" x14ac:dyDescent="0.45">
      <c r="A2" s="26" t="s">
        <v>21</v>
      </c>
      <c r="B2" s="25"/>
      <c r="C2" s="25"/>
      <c r="D2" s="25"/>
      <c r="E2" s="25"/>
      <c r="F2" s="25"/>
      <c r="G2" s="25"/>
      <c r="H2" s="25"/>
    </row>
    <row r="3" spans="1:8" ht="25.5" customHeight="1" x14ac:dyDescent="0.45">
      <c r="A3" s="2" t="s">
        <v>22</v>
      </c>
      <c r="B3" s="2" t="s">
        <v>23</v>
      </c>
      <c r="C3" s="2" t="s">
        <v>24</v>
      </c>
      <c r="D3" s="2" t="s">
        <v>25</v>
      </c>
      <c r="E3" s="2" t="s">
        <v>26</v>
      </c>
      <c r="F3" s="2" t="s">
        <v>27</v>
      </c>
      <c r="G3" s="2" t="s">
        <v>28</v>
      </c>
      <c r="H3" s="2" t="s">
        <v>29</v>
      </c>
    </row>
    <row r="4" spans="1:8" ht="151.5" customHeight="1" x14ac:dyDescent="0.45">
      <c r="A4" s="20" t="s">
        <v>83</v>
      </c>
      <c r="B4" s="3" t="s">
        <v>84</v>
      </c>
      <c r="C4" s="3" t="s">
        <v>78</v>
      </c>
      <c r="D4" s="3" t="s">
        <v>85</v>
      </c>
      <c r="E4" s="3" t="s">
        <v>213</v>
      </c>
      <c r="F4" s="3" t="s">
        <v>86</v>
      </c>
      <c r="G4" s="3" t="s">
        <v>200</v>
      </c>
      <c r="H4" s="3" t="s">
        <v>210</v>
      </c>
    </row>
    <row r="5" spans="1:8" ht="119.25" customHeight="1" x14ac:dyDescent="0.45">
      <c r="A5" s="20" t="s">
        <v>87</v>
      </c>
      <c r="B5" s="3" t="s">
        <v>84</v>
      </c>
      <c r="C5" s="3" t="s">
        <v>80</v>
      </c>
      <c r="D5" s="3" t="s">
        <v>88</v>
      </c>
      <c r="E5" s="3" t="s">
        <v>89</v>
      </c>
      <c r="F5" s="3" t="s">
        <v>90</v>
      </c>
      <c r="G5" s="3" t="s">
        <v>91</v>
      </c>
      <c r="H5" s="3" t="s">
        <v>92</v>
      </c>
    </row>
    <row r="6" spans="1:8" ht="130.15" customHeight="1" x14ac:dyDescent="0.45">
      <c r="A6" s="20" t="s">
        <v>93</v>
      </c>
      <c r="B6" s="3" t="s">
        <v>95</v>
      </c>
      <c r="C6" s="3" t="s">
        <v>82</v>
      </c>
      <c r="D6" s="3" t="s">
        <v>96</v>
      </c>
      <c r="E6" s="3" t="s">
        <v>97</v>
      </c>
      <c r="F6" s="3" t="s">
        <v>98</v>
      </c>
      <c r="G6" s="3" t="s">
        <v>208</v>
      </c>
      <c r="H6" s="3" t="s">
        <v>99</v>
      </c>
    </row>
    <row r="7" spans="1:8" ht="135.4" customHeight="1" x14ac:dyDescent="0.45">
      <c r="A7" s="20" t="s">
        <v>94</v>
      </c>
      <c r="B7" s="3" t="s">
        <v>84</v>
      </c>
      <c r="C7" s="3" t="s">
        <v>78</v>
      </c>
      <c r="D7" s="3" t="s">
        <v>101</v>
      </c>
      <c r="E7" s="3" t="s">
        <v>102</v>
      </c>
      <c r="F7" s="3" t="s">
        <v>103</v>
      </c>
      <c r="G7" s="3" t="s">
        <v>209</v>
      </c>
      <c r="H7" s="3" t="s">
        <v>211</v>
      </c>
    </row>
    <row r="8" spans="1:8" ht="124.9" customHeight="1" x14ac:dyDescent="0.45">
      <c r="A8" s="20" t="s">
        <v>100</v>
      </c>
      <c r="B8" s="3" t="s">
        <v>95</v>
      </c>
      <c r="C8" s="3" t="s">
        <v>82</v>
      </c>
      <c r="D8" s="3" t="s">
        <v>105</v>
      </c>
      <c r="E8" s="3" t="s">
        <v>106</v>
      </c>
      <c r="F8" s="3" t="s">
        <v>107</v>
      </c>
      <c r="G8" s="3" t="s">
        <v>201</v>
      </c>
      <c r="H8" s="3" t="s">
        <v>108</v>
      </c>
    </row>
    <row r="9" spans="1:8" ht="136.9" customHeight="1" x14ac:dyDescent="0.45">
      <c r="A9" s="20" t="s">
        <v>104</v>
      </c>
      <c r="B9" s="3" t="s">
        <v>95</v>
      </c>
      <c r="C9" s="3" t="s">
        <v>82</v>
      </c>
      <c r="D9" s="3" t="s">
        <v>110</v>
      </c>
      <c r="E9" s="3" t="s">
        <v>111</v>
      </c>
      <c r="F9" s="3" t="s">
        <v>112</v>
      </c>
      <c r="G9" s="3" t="s">
        <v>113</v>
      </c>
      <c r="H9" s="3" t="s">
        <v>212</v>
      </c>
    </row>
    <row r="10" spans="1:8" ht="117.75" customHeight="1" x14ac:dyDescent="0.45">
      <c r="A10" s="20" t="s">
        <v>109</v>
      </c>
      <c r="B10" s="3" t="s">
        <v>95</v>
      </c>
      <c r="C10" s="3" t="s">
        <v>82</v>
      </c>
      <c r="D10" s="3" t="s">
        <v>115</v>
      </c>
      <c r="E10" s="3" t="s">
        <v>116</v>
      </c>
      <c r="F10" s="3" t="s">
        <v>117</v>
      </c>
      <c r="G10" s="3" t="s">
        <v>202</v>
      </c>
      <c r="H10" s="3" t="s">
        <v>118</v>
      </c>
    </row>
    <row r="11" spans="1:8" ht="129.75" customHeight="1" x14ac:dyDescent="0.45">
      <c r="A11" s="20" t="s">
        <v>114</v>
      </c>
      <c r="B11" s="3" t="s">
        <v>84</v>
      </c>
      <c r="C11" s="3" t="s">
        <v>81</v>
      </c>
      <c r="D11" s="3" t="s">
        <v>120</v>
      </c>
      <c r="E11" s="3" t="s">
        <v>121</v>
      </c>
      <c r="F11" s="3" t="s">
        <v>122</v>
      </c>
      <c r="G11" s="3" t="s">
        <v>123</v>
      </c>
      <c r="H11" s="3" t="s">
        <v>124</v>
      </c>
    </row>
    <row r="12" spans="1:8" ht="123" customHeight="1" x14ac:dyDescent="0.45">
      <c r="A12" s="20" t="s">
        <v>119</v>
      </c>
      <c r="B12" s="3" t="s">
        <v>126</v>
      </c>
      <c r="C12" s="3" t="s">
        <v>80</v>
      </c>
      <c r="D12" s="3" t="s">
        <v>127</v>
      </c>
      <c r="E12" s="3" t="s">
        <v>128</v>
      </c>
      <c r="F12" s="3" t="s">
        <v>129</v>
      </c>
      <c r="G12" s="3" t="s">
        <v>203</v>
      </c>
      <c r="H12" s="3" t="s">
        <v>130</v>
      </c>
    </row>
    <row r="13" spans="1:8" ht="202.5" customHeight="1" x14ac:dyDescent="0.45">
      <c r="A13" s="20" t="s">
        <v>125</v>
      </c>
      <c r="B13" s="3" t="s">
        <v>126</v>
      </c>
      <c r="C13" s="3" t="s">
        <v>80</v>
      </c>
      <c r="D13" s="3" t="s">
        <v>216</v>
      </c>
      <c r="E13" s="3" t="s">
        <v>132</v>
      </c>
      <c r="F13" s="3" t="s">
        <v>215</v>
      </c>
      <c r="G13" s="3" t="s">
        <v>217</v>
      </c>
      <c r="H13" s="3" t="s">
        <v>214</v>
      </c>
    </row>
    <row r="14" spans="1:8" ht="196.5" customHeight="1" x14ac:dyDescent="0.45">
      <c r="A14" s="20" t="s">
        <v>131</v>
      </c>
      <c r="B14" s="3" t="s">
        <v>95</v>
      </c>
      <c r="C14" s="3" t="s">
        <v>78</v>
      </c>
      <c r="D14" s="3" t="s">
        <v>134</v>
      </c>
      <c r="E14" s="3" t="s">
        <v>135</v>
      </c>
      <c r="F14" s="3" t="s">
        <v>136</v>
      </c>
      <c r="G14" s="3" t="s">
        <v>204</v>
      </c>
      <c r="H14" s="3" t="s">
        <v>218</v>
      </c>
    </row>
    <row r="15" spans="1:8" ht="174.75" customHeight="1" x14ac:dyDescent="0.45">
      <c r="A15" s="20" t="s">
        <v>133</v>
      </c>
      <c r="B15" s="3" t="s">
        <v>84</v>
      </c>
      <c r="C15" s="3" t="s">
        <v>81</v>
      </c>
      <c r="D15" s="3" t="s">
        <v>138</v>
      </c>
      <c r="E15" s="3" t="s">
        <v>139</v>
      </c>
      <c r="F15" s="3" t="s">
        <v>140</v>
      </c>
      <c r="G15" s="3" t="s">
        <v>205</v>
      </c>
      <c r="H15" s="3" t="s">
        <v>206</v>
      </c>
    </row>
    <row r="16" spans="1:8" ht="123.4" customHeight="1" x14ac:dyDescent="0.45">
      <c r="A16" s="20" t="s">
        <v>137</v>
      </c>
      <c r="B16" s="3" t="s">
        <v>126</v>
      </c>
      <c r="C16" s="3" t="s">
        <v>78</v>
      </c>
      <c r="D16" s="3" t="s">
        <v>142</v>
      </c>
      <c r="E16" s="3" t="s">
        <v>143</v>
      </c>
      <c r="F16" s="3" t="s">
        <v>144</v>
      </c>
      <c r="G16" s="3" t="s">
        <v>145</v>
      </c>
      <c r="H16" s="3" t="s">
        <v>219</v>
      </c>
    </row>
    <row r="17" spans="1:8" ht="127.9" customHeight="1" x14ac:dyDescent="0.45">
      <c r="A17" s="20" t="s">
        <v>141</v>
      </c>
      <c r="B17" s="3" t="s">
        <v>126</v>
      </c>
      <c r="C17" s="3" t="s">
        <v>80</v>
      </c>
      <c r="D17" s="3" t="s">
        <v>147</v>
      </c>
      <c r="E17" s="3" t="s">
        <v>148</v>
      </c>
      <c r="F17" s="3" t="s">
        <v>149</v>
      </c>
      <c r="G17" s="3" t="s">
        <v>150</v>
      </c>
      <c r="H17" s="3" t="s">
        <v>151</v>
      </c>
    </row>
    <row r="18" spans="1:8" ht="120.4" customHeight="1" x14ac:dyDescent="0.45">
      <c r="A18" s="20" t="s">
        <v>146</v>
      </c>
      <c r="B18" s="3" t="s">
        <v>84</v>
      </c>
      <c r="C18" s="3" t="s">
        <v>81</v>
      </c>
      <c r="D18" s="3" t="s">
        <v>153</v>
      </c>
      <c r="E18" s="3" t="s">
        <v>154</v>
      </c>
      <c r="F18" s="3" t="s">
        <v>155</v>
      </c>
      <c r="G18" s="3" t="s">
        <v>156</v>
      </c>
      <c r="H18" s="3" t="s">
        <v>157</v>
      </c>
    </row>
    <row r="19" spans="1:8" ht="180.75" customHeight="1" x14ac:dyDescent="0.45">
      <c r="A19" s="20" t="s">
        <v>152</v>
      </c>
      <c r="B19" s="3" t="s">
        <v>84</v>
      </c>
      <c r="C19" s="3" t="s">
        <v>78</v>
      </c>
      <c r="D19" s="3" t="s">
        <v>220</v>
      </c>
      <c r="E19" s="3" t="s">
        <v>159</v>
      </c>
      <c r="F19" s="3" t="s">
        <v>160</v>
      </c>
      <c r="G19" s="3" t="s">
        <v>207</v>
      </c>
      <c r="H19" s="3" t="s">
        <v>221</v>
      </c>
    </row>
    <row r="20" spans="1:8" ht="138.4" customHeight="1" x14ac:dyDescent="0.45">
      <c r="A20" s="20" t="s">
        <v>158</v>
      </c>
      <c r="B20" s="3" t="s">
        <v>84</v>
      </c>
      <c r="C20" s="3" t="s">
        <v>81</v>
      </c>
      <c r="D20" s="3" t="s">
        <v>162</v>
      </c>
      <c r="E20" s="3" t="s">
        <v>163</v>
      </c>
      <c r="F20" s="3" t="s">
        <v>164</v>
      </c>
      <c r="G20" s="3" t="s">
        <v>165</v>
      </c>
      <c r="H20" s="3" t="s">
        <v>166</v>
      </c>
    </row>
    <row r="21" spans="1:8" ht="138.4" customHeight="1" x14ac:dyDescent="0.45">
      <c r="A21" s="20" t="s">
        <v>161</v>
      </c>
      <c r="B21" s="3" t="s">
        <v>95</v>
      </c>
      <c r="C21" s="3" t="s">
        <v>82</v>
      </c>
      <c r="D21" s="3" t="s">
        <v>167</v>
      </c>
      <c r="E21" s="3" t="s">
        <v>168</v>
      </c>
      <c r="F21" s="3" t="s">
        <v>169</v>
      </c>
      <c r="G21" s="3" t="s">
        <v>170</v>
      </c>
      <c r="H21" s="3" t="s">
        <v>222</v>
      </c>
    </row>
    <row r="22" spans="1:8" ht="51.3" customHeight="1" x14ac:dyDescent="0.45">
      <c r="A22" s="3"/>
      <c r="B22" s="3"/>
      <c r="C22" s="3"/>
      <c r="D22" s="3"/>
      <c r="E22" s="3"/>
      <c r="F22" s="3"/>
      <c r="G22" s="3"/>
      <c r="H22" s="3"/>
    </row>
    <row r="23" spans="1:8" ht="51.3" customHeight="1" x14ac:dyDescent="0.45">
      <c r="A23" s="3"/>
      <c r="B23" s="3"/>
      <c r="C23" s="3"/>
      <c r="D23" s="3"/>
      <c r="E23" s="3"/>
      <c r="F23" s="3"/>
      <c r="G23" s="3"/>
      <c r="H23" s="3"/>
    </row>
    <row r="24" spans="1:8" ht="51.3" customHeight="1" x14ac:dyDescent="0.45">
      <c r="A24" s="3"/>
      <c r="B24" s="3"/>
      <c r="C24" s="3"/>
      <c r="D24" s="3"/>
      <c r="E24" s="3"/>
      <c r="F24" s="3"/>
      <c r="G24" s="3"/>
      <c r="H24" s="3"/>
    </row>
  </sheetData>
  <mergeCells count="2">
    <mergeCell ref="A2:H2"/>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85" zoomScaleNormal="85" workbookViewId="0">
      <selection activeCell="F7" sqref="F7"/>
    </sheetView>
  </sheetViews>
  <sheetFormatPr defaultRowHeight="14.25" x14ac:dyDescent="0.45"/>
  <cols>
    <col min="1" max="1" width="16" customWidth="1"/>
    <col min="2" max="2" width="24" customWidth="1"/>
    <col min="3" max="4" width="42" customWidth="1"/>
    <col min="5" max="5" width="38" customWidth="1"/>
    <col min="6" max="6" width="42" customWidth="1"/>
  </cols>
  <sheetData>
    <row r="1" spans="1:6" x14ac:dyDescent="0.45">
      <c r="A1" s="28" t="s">
        <v>30</v>
      </c>
      <c r="B1" s="24"/>
      <c r="C1" s="24"/>
      <c r="D1" s="24"/>
      <c r="E1" s="24"/>
      <c r="F1" s="24"/>
    </row>
    <row r="2" spans="1:6" x14ac:dyDescent="0.45">
      <c r="A2" s="27" t="s">
        <v>31</v>
      </c>
      <c r="B2" s="24"/>
      <c r="C2" s="24"/>
      <c r="D2" s="24"/>
      <c r="E2" s="24"/>
      <c r="F2" s="24"/>
    </row>
    <row r="3" spans="1:6" ht="25.5" customHeight="1" x14ac:dyDescent="0.45">
      <c r="A3" s="2" t="s">
        <v>32</v>
      </c>
      <c r="B3" s="2" t="s">
        <v>33</v>
      </c>
      <c r="C3" s="2" t="s">
        <v>34</v>
      </c>
      <c r="D3" s="2" t="s">
        <v>35</v>
      </c>
      <c r="E3" s="2" t="s">
        <v>36</v>
      </c>
      <c r="F3" s="2" t="s">
        <v>37</v>
      </c>
    </row>
    <row r="4" spans="1:6" ht="73.7" customHeight="1" x14ac:dyDescent="0.45">
      <c r="A4" s="3" t="s">
        <v>104</v>
      </c>
      <c r="B4" s="3" t="s">
        <v>48</v>
      </c>
      <c r="C4" s="3" t="s">
        <v>171</v>
      </c>
      <c r="D4" s="3" t="s">
        <v>172</v>
      </c>
      <c r="E4" s="3" t="s">
        <v>173</v>
      </c>
      <c r="F4" s="3" t="s">
        <v>174</v>
      </c>
    </row>
    <row r="5" spans="1:6" ht="73.7" customHeight="1" x14ac:dyDescent="0.45">
      <c r="A5" s="3" t="s">
        <v>125</v>
      </c>
      <c r="B5" s="3" t="s">
        <v>54</v>
      </c>
      <c r="C5" s="3" t="s">
        <v>223</v>
      </c>
      <c r="D5" s="3" t="s">
        <v>224</v>
      </c>
      <c r="E5" s="3" t="s">
        <v>225</v>
      </c>
      <c r="F5" s="3" t="s">
        <v>226</v>
      </c>
    </row>
    <row r="6" spans="1:6" ht="73.7" customHeight="1" x14ac:dyDescent="0.45">
      <c r="A6" s="3" t="s">
        <v>137</v>
      </c>
      <c r="B6" s="3" t="s">
        <v>45</v>
      </c>
      <c r="C6" s="3" t="s">
        <v>175</v>
      </c>
      <c r="D6" s="3" t="s">
        <v>176</v>
      </c>
      <c r="E6" s="3" t="s">
        <v>177</v>
      </c>
      <c r="F6" s="3" t="s">
        <v>178</v>
      </c>
    </row>
    <row r="7" spans="1:6" ht="38.450000000000003" customHeight="1" x14ac:dyDescent="0.45">
      <c r="A7" s="3"/>
      <c r="B7" s="3"/>
      <c r="C7" s="3"/>
      <c r="D7" s="3"/>
      <c r="E7" s="3"/>
      <c r="F7" s="3"/>
    </row>
    <row r="8" spans="1:6" ht="38.450000000000003" customHeight="1" x14ac:dyDescent="0.45">
      <c r="A8" s="3"/>
      <c r="B8" s="3"/>
      <c r="C8" s="3"/>
      <c r="D8" s="3"/>
      <c r="E8" s="3"/>
      <c r="F8" s="3"/>
    </row>
    <row r="9" spans="1:6" ht="38.450000000000003" customHeight="1" x14ac:dyDescent="0.45">
      <c r="A9" s="3"/>
      <c r="B9" s="3"/>
      <c r="C9" s="3"/>
      <c r="D9" s="3"/>
      <c r="E9" s="3"/>
      <c r="F9" s="3"/>
    </row>
    <row r="10" spans="1:6" ht="38.450000000000003" customHeight="1" x14ac:dyDescent="0.45">
      <c r="A10" s="3"/>
      <c r="B10" s="3"/>
      <c r="C10" s="3"/>
      <c r="D10" s="3"/>
      <c r="E10" s="3"/>
      <c r="F10" s="3"/>
    </row>
    <row r="11" spans="1:6" ht="38.450000000000003" customHeight="1" x14ac:dyDescent="0.45">
      <c r="A11" s="3"/>
      <c r="B11" s="3"/>
      <c r="C11" s="3"/>
      <c r="D11" s="3"/>
      <c r="E11" s="3"/>
      <c r="F11" s="3"/>
    </row>
    <row r="12" spans="1:6" ht="38.450000000000003" customHeight="1" x14ac:dyDescent="0.45">
      <c r="A12" s="3"/>
      <c r="B12" s="3"/>
      <c r="C12" s="3"/>
      <c r="D12" s="3"/>
      <c r="E12" s="3"/>
      <c r="F12" s="3"/>
    </row>
    <row r="13" spans="1:6" ht="38.450000000000003" customHeight="1" x14ac:dyDescent="0.45">
      <c r="A13" s="3"/>
      <c r="B13" s="3"/>
      <c r="C13" s="3"/>
      <c r="D13" s="3"/>
      <c r="E13" s="3"/>
      <c r="F13" s="3"/>
    </row>
    <row r="14" spans="1:6" ht="38.450000000000003" customHeight="1" x14ac:dyDescent="0.45">
      <c r="A14" s="3"/>
      <c r="B14" s="3"/>
      <c r="C14" s="3"/>
      <c r="D14" s="3"/>
      <c r="E14" s="3"/>
      <c r="F14" s="3"/>
    </row>
    <row r="15" spans="1:6" ht="38.450000000000003" customHeight="1" x14ac:dyDescent="0.45">
      <c r="A15" s="3"/>
      <c r="B15" s="3"/>
      <c r="C15" s="3"/>
      <c r="D15" s="3"/>
      <c r="E15" s="3"/>
      <c r="F15" s="3"/>
    </row>
    <row r="16" spans="1:6" ht="38.450000000000003" customHeight="1" x14ac:dyDescent="0.45">
      <c r="A16" s="3"/>
      <c r="B16" s="3"/>
      <c r="C16" s="3"/>
      <c r="D16" s="3"/>
      <c r="E16" s="3"/>
      <c r="F16" s="3"/>
    </row>
    <row r="17" spans="1:6" ht="38.450000000000003" customHeight="1" x14ac:dyDescent="0.45">
      <c r="A17" s="3"/>
      <c r="B17" s="3"/>
      <c r="C17" s="3"/>
      <c r="D17" s="3"/>
      <c r="E17" s="3"/>
      <c r="F17" s="3"/>
    </row>
    <row r="18" spans="1:6" ht="38.450000000000003" customHeight="1" x14ac:dyDescent="0.45">
      <c r="A18" s="3"/>
      <c r="B18" s="3"/>
      <c r="C18" s="3"/>
      <c r="D18" s="3"/>
      <c r="E18" s="3"/>
      <c r="F18" s="3"/>
    </row>
    <row r="19" spans="1:6" ht="38.450000000000003" customHeight="1" x14ac:dyDescent="0.45">
      <c r="A19" s="3"/>
      <c r="B19" s="3"/>
      <c r="C19" s="3"/>
      <c r="D19" s="3"/>
      <c r="E19" s="3"/>
      <c r="F19" s="3"/>
    </row>
    <row r="20" spans="1:6" ht="38.450000000000003" customHeight="1" x14ac:dyDescent="0.45">
      <c r="A20" s="3"/>
      <c r="B20" s="3"/>
      <c r="C20" s="3"/>
      <c r="D20" s="3"/>
      <c r="E20" s="3"/>
      <c r="F20" s="3"/>
    </row>
    <row r="21" spans="1:6" ht="38.450000000000003" customHeight="1" x14ac:dyDescent="0.45">
      <c r="A21" s="3"/>
      <c r="B21" s="3"/>
      <c r="C21" s="3"/>
      <c r="D21" s="3"/>
      <c r="E21" s="3"/>
      <c r="F21" s="3"/>
    </row>
    <row r="22" spans="1:6" ht="38.450000000000003" customHeight="1" x14ac:dyDescent="0.45">
      <c r="A22" s="3"/>
      <c r="B22" s="3"/>
      <c r="C22" s="3"/>
      <c r="D22" s="3"/>
      <c r="E22" s="3"/>
      <c r="F22" s="3"/>
    </row>
    <row r="23" spans="1:6" ht="38.450000000000003" customHeight="1" x14ac:dyDescent="0.45">
      <c r="A23" s="3"/>
      <c r="B23" s="3"/>
      <c r="C23" s="3"/>
      <c r="D23" s="3"/>
      <c r="E23" s="3"/>
      <c r="F23" s="3"/>
    </row>
    <row r="24" spans="1:6" ht="38.450000000000003" customHeight="1" x14ac:dyDescent="0.45">
      <c r="A24" s="3"/>
      <c r="B24" s="3"/>
      <c r="C24" s="3"/>
      <c r="D24" s="3"/>
      <c r="E24" s="3"/>
      <c r="F24" s="3"/>
    </row>
    <row r="25" spans="1:6" x14ac:dyDescent="0.45">
      <c r="A25" s="14"/>
      <c r="B25" s="14"/>
      <c r="C25" s="14"/>
      <c r="D25" s="14"/>
      <c r="E25" s="14"/>
      <c r="F25" s="14"/>
    </row>
    <row r="26" spans="1:6" x14ac:dyDescent="0.45">
      <c r="A26" s="14"/>
      <c r="B26" s="14"/>
      <c r="C26" s="14"/>
      <c r="D26" s="14"/>
      <c r="E26" s="14"/>
      <c r="F26" s="14"/>
    </row>
    <row r="27" spans="1:6" x14ac:dyDescent="0.45">
      <c r="A27" s="14"/>
      <c r="B27" s="14"/>
      <c r="C27" s="14"/>
      <c r="D27" s="14"/>
      <c r="E27" s="14"/>
      <c r="F27" s="14"/>
    </row>
    <row r="28" spans="1:6" x14ac:dyDescent="0.45">
      <c r="A28" s="14"/>
      <c r="B28" s="14"/>
      <c r="C28" s="14"/>
      <c r="D28" s="14"/>
      <c r="E28" s="14"/>
      <c r="F28" s="14"/>
    </row>
    <row r="29" spans="1:6" x14ac:dyDescent="0.45">
      <c r="A29" s="14"/>
      <c r="B29" s="14"/>
      <c r="C29" s="14"/>
      <c r="D29" s="14"/>
      <c r="E29" s="14"/>
      <c r="F29" s="14"/>
    </row>
    <row r="30" spans="1:6" ht="54" x14ac:dyDescent="0.55000000000000004">
      <c r="A30" s="15" t="s">
        <v>38</v>
      </c>
      <c r="B30" s="14"/>
      <c r="C30" s="14"/>
      <c r="D30" s="14"/>
      <c r="E30" s="14"/>
      <c r="F30" s="14"/>
    </row>
    <row r="31" spans="1:6" x14ac:dyDescent="0.45">
      <c r="A31" s="6" t="s">
        <v>39</v>
      </c>
      <c r="B31" s="6" t="s">
        <v>40</v>
      </c>
      <c r="C31" s="6" t="s">
        <v>41</v>
      </c>
      <c r="D31" s="14"/>
      <c r="E31" s="14"/>
      <c r="F31" s="14"/>
    </row>
    <row r="32" spans="1:6" ht="28.25" customHeight="1" x14ac:dyDescent="0.45">
      <c r="A32" s="3" t="s">
        <v>42</v>
      </c>
      <c r="B32" s="3" t="s">
        <v>43</v>
      </c>
      <c r="C32" s="3" t="s">
        <v>44</v>
      </c>
      <c r="D32" s="14"/>
      <c r="E32" s="14"/>
      <c r="F32" s="14"/>
    </row>
    <row r="33" spans="1:6" ht="28.25" customHeight="1" x14ac:dyDescent="0.45">
      <c r="A33" s="3" t="s">
        <v>45</v>
      </c>
      <c r="B33" s="3" t="s">
        <v>46</v>
      </c>
      <c r="C33" s="3" t="s">
        <v>47</v>
      </c>
      <c r="D33" s="14"/>
      <c r="E33" s="14"/>
      <c r="F33" s="14"/>
    </row>
    <row r="34" spans="1:6" ht="28.25" customHeight="1" x14ac:dyDescent="0.45">
      <c r="A34" s="3" t="s">
        <v>48</v>
      </c>
      <c r="B34" s="3" t="s">
        <v>49</v>
      </c>
      <c r="C34" s="3" t="s">
        <v>50</v>
      </c>
      <c r="D34" s="14"/>
      <c r="E34" s="14"/>
      <c r="F34" s="14"/>
    </row>
    <row r="35" spans="1:6" ht="28.25" customHeight="1" x14ac:dyDescent="0.45">
      <c r="A35" s="3" t="s">
        <v>51</v>
      </c>
      <c r="B35" s="3" t="s">
        <v>52</v>
      </c>
      <c r="C35" s="3" t="s">
        <v>53</v>
      </c>
      <c r="D35" s="14"/>
      <c r="E35" s="14"/>
      <c r="F35" s="14"/>
    </row>
    <row r="36" spans="1:6" ht="28.25" customHeight="1" x14ac:dyDescent="0.45">
      <c r="A36" s="3" t="s">
        <v>54</v>
      </c>
      <c r="B36" s="3" t="s">
        <v>55</v>
      </c>
      <c r="C36" s="3" t="s">
        <v>56</v>
      </c>
      <c r="D36" s="14"/>
      <c r="E36" s="14"/>
      <c r="F36" s="14"/>
    </row>
  </sheetData>
  <mergeCells count="2">
    <mergeCell ref="A2:F2"/>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opLeftCell="A18" workbookViewId="0">
      <selection activeCell="F32" sqref="F32"/>
    </sheetView>
  </sheetViews>
  <sheetFormatPr defaultRowHeight="14.25" x14ac:dyDescent="0.45"/>
  <cols>
    <col min="1" max="1" width="14" customWidth="1"/>
    <col min="2" max="2" width="68" customWidth="1"/>
    <col min="3" max="3" width="18" customWidth="1"/>
    <col min="4" max="4" width="42" customWidth="1"/>
  </cols>
  <sheetData>
    <row r="1" spans="1:4" x14ac:dyDescent="0.45">
      <c r="A1" s="23" t="s">
        <v>57</v>
      </c>
      <c r="B1" s="24"/>
      <c r="C1" s="24"/>
      <c r="D1" s="24"/>
    </row>
    <row r="2" spans="1:4" x14ac:dyDescent="0.45">
      <c r="A2" s="29" t="s">
        <v>58</v>
      </c>
      <c r="B2" s="24"/>
      <c r="C2" s="24"/>
      <c r="D2" s="24"/>
    </row>
    <row r="3" spans="1:4" x14ac:dyDescent="0.45">
      <c r="A3" s="14"/>
      <c r="B3" s="14"/>
      <c r="C3" s="14"/>
      <c r="D3" s="14"/>
    </row>
    <row r="4" spans="1:4" ht="18" x14ac:dyDescent="0.55000000000000004">
      <c r="A4" s="1" t="s">
        <v>59</v>
      </c>
      <c r="C4" s="14"/>
      <c r="D4" s="14"/>
    </row>
    <row r="5" spans="1:4" x14ac:dyDescent="0.45">
      <c r="A5" s="2" t="s">
        <v>60</v>
      </c>
      <c r="B5" s="7" t="s">
        <v>61</v>
      </c>
      <c r="C5" s="2" t="s">
        <v>62</v>
      </c>
      <c r="D5" s="7" t="s">
        <v>63</v>
      </c>
    </row>
    <row r="6" spans="1:4" ht="36" customHeight="1" x14ac:dyDescent="0.45">
      <c r="A6" s="8">
        <v>1</v>
      </c>
      <c r="B6" s="9" t="s">
        <v>179</v>
      </c>
      <c r="C6" s="8" t="s">
        <v>180</v>
      </c>
      <c r="D6" s="9" t="s">
        <v>181</v>
      </c>
    </row>
    <row r="7" spans="1:4" ht="36" customHeight="1" x14ac:dyDescent="0.45">
      <c r="A7" s="8">
        <v>2</v>
      </c>
      <c r="B7" s="9" t="s">
        <v>182</v>
      </c>
      <c r="C7" s="8" t="s">
        <v>180</v>
      </c>
      <c r="D7" s="9" t="s">
        <v>183</v>
      </c>
    </row>
    <row r="8" spans="1:4" ht="36" customHeight="1" x14ac:dyDescent="0.45">
      <c r="A8" s="8">
        <v>3</v>
      </c>
      <c r="B8" s="9" t="s">
        <v>184</v>
      </c>
      <c r="C8" s="8" t="s">
        <v>180</v>
      </c>
      <c r="D8" s="9" t="s">
        <v>185</v>
      </c>
    </row>
    <row r="9" spans="1:4" ht="36" customHeight="1" x14ac:dyDescent="0.45">
      <c r="A9" s="8">
        <v>4</v>
      </c>
      <c r="B9" s="9" t="s">
        <v>186</v>
      </c>
      <c r="C9" s="8" t="s">
        <v>180</v>
      </c>
      <c r="D9" s="9" t="s">
        <v>187</v>
      </c>
    </row>
    <row r="10" spans="1:4" ht="36" customHeight="1" x14ac:dyDescent="0.45">
      <c r="A10" s="8">
        <v>5</v>
      </c>
      <c r="B10" s="9" t="s">
        <v>188</v>
      </c>
      <c r="C10" s="8" t="s">
        <v>180</v>
      </c>
      <c r="D10" s="9" t="s">
        <v>189</v>
      </c>
    </row>
    <row r="11" spans="1:4" x14ac:dyDescent="0.45">
      <c r="A11" s="14"/>
      <c r="B11" s="14"/>
      <c r="C11" s="14"/>
      <c r="D11" s="14"/>
    </row>
    <row r="12" spans="1:4" ht="18" x14ac:dyDescent="0.55000000000000004">
      <c r="A12" s="1" t="s">
        <v>59</v>
      </c>
      <c r="C12" s="14"/>
      <c r="D12" s="14"/>
    </row>
    <row r="13" spans="1:4" x14ac:dyDescent="0.45">
      <c r="A13" s="2" t="s">
        <v>60</v>
      </c>
      <c r="B13" s="7" t="s">
        <v>61</v>
      </c>
      <c r="C13" s="2" t="s">
        <v>62</v>
      </c>
      <c r="D13" s="7" t="s">
        <v>190</v>
      </c>
    </row>
    <row r="14" spans="1:4" ht="36" customHeight="1" x14ac:dyDescent="0.45">
      <c r="A14" s="8">
        <v>1</v>
      </c>
      <c r="B14" s="9" t="s">
        <v>191</v>
      </c>
      <c r="C14" s="8" t="s">
        <v>180</v>
      </c>
      <c r="D14" s="9" t="str">
        <f>COUNTA('2. Detailed Audit Log'!A4:A21)&amp;" entries (yêu cầu: 20)"</f>
        <v>18 entries (yêu cầu: 20)</v>
      </c>
    </row>
    <row r="15" spans="1:4" ht="36" customHeight="1" x14ac:dyDescent="0.45">
      <c r="A15" s="8">
        <v>2</v>
      </c>
      <c r="B15" s="9" t="s">
        <v>227</v>
      </c>
      <c r="C15" s="8" t="s">
        <v>180</v>
      </c>
      <c r="D15" s="9" t="str">
        <f>COUNTIF('1. Metadata &amp; Summary'!B24:B27,"&gt;=1")&amp;"/4 components"</f>
        <v>4/4 components</v>
      </c>
    </row>
    <row r="16" spans="1:4" ht="36" customHeight="1" x14ac:dyDescent="0.45">
      <c r="A16" s="8">
        <v>3</v>
      </c>
      <c r="B16" s="9" t="s">
        <v>192</v>
      </c>
      <c r="C16" s="8" t="s">
        <v>180</v>
      </c>
      <c r="D16" s="9" t="str">
        <f>'1. Metadata &amp; Summary'!C13&amp;" cases"</f>
        <v>3 cases</v>
      </c>
    </row>
    <row r="17" spans="1:4" ht="36" customHeight="1" x14ac:dyDescent="0.45">
      <c r="A17" s="8">
        <v>4</v>
      </c>
      <c r="B17" s="9" t="s">
        <v>193</v>
      </c>
      <c r="C17" s="8" t="s">
        <v>180</v>
      </c>
      <c r="D17" s="9" t="str">
        <f>COUNTA('2. Detailed Audit Log'!G4:G21)&amp;"/"&amp;COUNTA('2. Detailed Audit Log'!A4:A21)</f>
        <v>18/18</v>
      </c>
    </row>
    <row r="18" spans="1:4" ht="36" customHeight="1" x14ac:dyDescent="0.45">
      <c r="A18" s="8">
        <v>5</v>
      </c>
      <c r="B18" s="9" t="s">
        <v>194</v>
      </c>
      <c r="C18" s="8" t="s">
        <v>180</v>
      </c>
      <c r="D18" s="21">
        <f>COUNTA('2. Detailed Audit Log'!H4:H21)/COUNTA('2. Detailed Audit Log'!A4:A21)</f>
        <v>1</v>
      </c>
    </row>
    <row r="19" spans="1:4" x14ac:dyDescent="0.45">
      <c r="A19" s="14"/>
      <c r="B19" s="14"/>
      <c r="C19" s="14"/>
      <c r="D19" s="14"/>
    </row>
    <row r="20" spans="1:4" ht="15.75" x14ac:dyDescent="0.5">
      <c r="A20" s="10" t="s">
        <v>64</v>
      </c>
      <c r="C20" s="14"/>
      <c r="D20" s="14"/>
    </row>
    <row r="21" spans="1:4" x14ac:dyDescent="0.45">
      <c r="A21" s="11" t="s">
        <v>65</v>
      </c>
      <c r="C21" s="14"/>
      <c r="D21" s="14"/>
    </row>
    <row r="22" spans="1:4" x14ac:dyDescent="0.45">
      <c r="A22" s="11" t="s">
        <v>66</v>
      </c>
      <c r="C22" s="14"/>
      <c r="D22" s="14"/>
    </row>
    <row r="23" spans="1:4" x14ac:dyDescent="0.45">
      <c r="A23" s="14"/>
      <c r="B23" s="14"/>
      <c r="C23" s="14"/>
      <c r="D23" s="14"/>
    </row>
    <row r="24" spans="1:4" x14ac:dyDescent="0.45">
      <c r="A24" s="14"/>
      <c r="B24" s="14"/>
      <c r="C24" s="14"/>
      <c r="D24" s="14"/>
    </row>
    <row r="25" spans="1:4" ht="18" x14ac:dyDescent="0.55000000000000004">
      <c r="A25" s="1" t="s">
        <v>67</v>
      </c>
      <c r="C25" s="14"/>
      <c r="D25" s="14"/>
    </row>
    <row r="26" spans="1:4" x14ac:dyDescent="0.45">
      <c r="A26" s="12" t="s">
        <v>68</v>
      </c>
      <c r="C26" s="14"/>
      <c r="D26" s="14"/>
    </row>
    <row r="27" spans="1:4" ht="28.5" x14ac:dyDescent="0.45">
      <c r="A27" s="13" t="s">
        <v>22</v>
      </c>
      <c r="B27" s="6" t="s">
        <v>69</v>
      </c>
      <c r="C27" s="6" t="s">
        <v>70</v>
      </c>
      <c r="D27" s="6" t="s">
        <v>71</v>
      </c>
    </row>
    <row r="28" spans="1:4" ht="36" customHeight="1" x14ac:dyDescent="0.45">
      <c r="A28" s="5" t="s">
        <v>83</v>
      </c>
      <c r="B28" s="3" t="s">
        <v>195</v>
      </c>
      <c r="C28" s="3" t="s">
        <v>180</v>
      </c>
      <c r="D28" s="3" t="s">
        <v>196</v>
      </c>
    </row>
    <row r="29" spans="1:4" ht="36" customHeight="1" x14ac:dyDescent="0.45">
      <c r="A29" s="5" t="s">
        <v>94</v>
      </c>
      <c r="B29" s="3" t="s">
        <v>197</v>
      </c>
      <c r="C29" s="3" t="s">
        <v>180</v>
      </c>
      <c r="D29" s="3" t="s">
        <v>198</v>
      </c>
    </row>
    <row r="30" spans="1:4" ht="36" customHeight="1" x14ac:dyDescent="0.45">
      <c r="A30" s="5" t="s">
        <v>109</v>
      </c>
      <c r="B30" s="3" t="s">
        <v>228</v>
      </c>
      <c r="C30" s="3" t="s">
        <v>180</v>
      </c>
      <c r="D30" s="3" t="s">
        <v>229</v>
      </c>
    </row>
    <row r="31" spans="1:4" ht="36" customHeight="1" x14ac:dyDescent="0.45">
      <c r="A31" s="14" t="s">
        <v>131</v>
      </c>
      <c r="B31" s="14" t="s">
        <v>230</v>
      </c>
      <c r="C31" s="14" t="s">
        <v>180</v>
      </c>
      <c r="D31" s="14" t="s">
        <v>231</v>
      </c>
    </row>
    <row r="32" spans="1:4" ht="36" customHeight="1" x14ac:dyDescent="0.45">
      <c r="A32" s="14" t="s">
        <v>158</v>
      </c>
      <c r="B32" s="14" t="s">
        <v>232</v>
      </c>
      <c r="C32" s="14" t="s">
        <v>180</v>
      </c>
      <c r="D32" s="14" t="s">
        <v>233</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Yoshida Naomi</dc:creator>
  <cp:lastModifiedBy>Yoshida Naomi</cp:lastModifiedBy>
  <dcterms:created xsi:type="dcterms:W3CDTF">2026-07-20T16:57:29Z</dcterms:created>
  <dcterms:modified xsi:type="dcterms:W3CDTF">2026-07-20T16:57:29Z</dcterms:modified>
</cp:coreProperties>
</file>